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adme &amp; Instructions" sheetId="1" state="visible" r:id="rId1"/>
    <sheet xmlns:r="http://schemas.openxmlformats.org/officeDocument/2006/relationships" name="4. Dropdown Reference" sheetId="2" state="visible" r:id="rId2"/>
    <sheet xmlns:r="http://schemas.openxmlformats.org/officeDocument/2006/relationships" name="2. Contact Database" sheetId="3" state="visible" r:id="rId3"/>
    <sheet xmlns:r="http://schemas.openxmlformats.org/officeDocument/2006/relationships" name="3. CRM Field Mapping" sheetId="4" state="visible" r:id="rId4"/>
    <sheet xmlns:r="http://schemas.openxmlformats.org/officeDocument/2006/relationships" name="5. Analytics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2C3E50"/>
      <sz val="12"/>
    </font>
    <font>
      <name val="Calibri"/>
      <b val="1"/>
      <color rgb="00000000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F4E7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35" customWidth="1" min="3" max="3"/>
  </cols>
  <sheetData>
    <row r="1" ht="40" customHeight="1">
      <c r="A1" s="1" t="inlineStr">
        <is>
          <t>CardScan Contact Database &amp; CRM Import Setup</t>
        </is>
      </c>
    </row>
    <row r="2">
      <c r="A2" s="2" t="inlineStr">
        <is>
          <t>This workbook acts as the production-ready schema and data validation tool for managing contact exports from the CardScan Visiting Card Scanner application.</t>
        </is>
      </c>
    </row>
    <row r="3"/>
    <row r="4" ht="25" customHeight="1">
      <c r="A4" s="3" t="inlineStr">
        <is>
          <t>Tab Name</t>
        </is>
      </c>
      <c r="B4" s="3" t="inlineStr">
        <is>
          <t>Purpose</t>
        </is>
      </c>
      <c r="C4" s="3" t="inlineStr">
        <is>
          <t>Action Needed</t>
        </is>
      </c>
    </row>
    <row r="5" ht="25" customHeight="1">
      <c r="A5" s="4" t="inlineStr">
        <is>
          <t>1. Readme &amp; Instructions</t>
        </is>
      </c>
      <c r="B5" s="4" t="inlineStr">
        <is>
          <t>Overview, rules, and guidance on using this template.</t>
        </is>
      </c>
      <c r="C5" s="4" t="inlineStr">
        <is>
          <t>Read first before entering data.</t>
        </is>
      </c>
    </row>
    <row r="6" ht="25" customHeight="1">
      <c r="A6" s="4" t="inlineStr">
        <is>
          <t>2. Contact Database</t>
        </is>
      </c>
      <c r="B6" s="4" t="inlineStr">
        <is>
          <t>The core structured contact repository mapped to card scanner data.</t>
        </is>
      </c>
      <c r="C6" s="4" t="inlineStr">
        <is>
          <t>Insert your scanned card records here. Columns with light-grey background are calculated formulas.</t>
        </is>
      </c>
    </row>
    <row r="7" ht="25" customHeight="1">
      <c r="A7" s="4" t="inlineStr">
        <is>
          <t>3. CRM Field Mapping</t>
        </is>
      </c>
      <c r="B7" s="4" t="inlineStr">
        <is>
          <t>Ready-to-use export mapping for popular CRMs and mail providers.</t>
        </is>
      </c>
      <c r="C7" s="4" t="inlineStr">
        <is>
          <t>Refer to this to easily map CardScan output fields to Salesforce, HubSpot, or Google Contacts.</t>
        </is>
      </c>
    </row>
    <row r="8" ht="25" customHeight="1">
      <c r="A8" s="4" t="inlineStr">
        <is>
          <t>4. Dropdown Reference</t>
        </is>
      </c>
      <c r="B8" s="4" t="inlineStr">
        <is>
          <t>Source list for dropdown selections (Category, Industry, Status).</t>
        </is>
      </c>
      <c r="C8" s="4" t="inlineStr">
        <is>
          <t>Add custom dropdown choices here if you need to customize options.</t>
        </is>
      </c>
    </row>
    <row r="9" ht="25" customHeight="1">
      <c r="A9" s="4" t="inlineStr">
        <is>
          <t>5. Analytics Dashboard</t>
        </is>
      </c>
      <c r="B9" s="4" t="inlineStr">
        <is>
          <t>Calculates key database stats like total leads, data completeness, and distribution.</t>
        </is>
      </c>
      <c r="C9" s="4" t="inlineStr">
        <is>
          <t>Formulas update automatically as you add rows to the database.</t>
        </is>
      </c>
    </row>
    <row r="10"/>
    <row r="11"/>
    <row r="12">
      <c r="A12" s="5" t="inlineStr">
        <is>
          <t>Data Integrity &amp; Setup Guidelines:</t>
        </is>
      </c>
    </row>
    <row r="13">
      <c r="A13" s="6" t="inlineStr">
        <is>
          <t>- Formula Integrity: The 'Full Name' field uses a formula =CLEAN(TRIM(B[Row] &amp; " " &amp; C[Row])). Do not edit this cell manually.</t>
        </is>
      </c>
    </row>
    <row r="14">
      <c r="A14" s="6" t="inlineStr">
        <is>
          <t>- Validation Rules: Email and Website columns include validation input messages. Please ensure correct syntax.</t>
        </is>
      </c>
    </row>
    <row r="15">
      <c r="A15" s="6" t="inlineStr">
        <is>
          <t>- Date Formatting: Maintain the YYYY-MM-DD standard for 'Scan Date' to prevent sorting and database synchronization issues.</t>
        </is>
      </c>
    </row>
    <row r="16">
      <c r="A16" s="6" t="inlineStr">
        <is>
          <t>- Multi-Value Fields: For raw text details extracted from ML Kit OCR, place the full block inside the 'Raw OCR Text' column for compliance auditing.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31" customWidth="1" min="3" max="3"/>
  </cols>
  <sheetData>
    <row r="1">
      <c r="A1" s="7" t="inlineStr">
        <is>
          <t>Dropdown Lists &amp; Lookup Values</t>
        </is>
      </c>
    </row>
    <row r="2">
      <c r="A2" s="2" t="inlineStr">
        <is>
          <t>Do not delete these columns. They are referenced for Data Validation dropdowns.</t>
        </is>
      </c>
    </row>
    <row r="3"/>
    <row r="4">
      <c r="A4" s="3" t="inlineStr">
        <is>
          <t>Relationship Stage</t>
        </is>
      </c>
      <c r="B4" s="3" t="inlineStr">
        <is>
          <t>Industry Group</t>
        </is>
      </c>
      <c r="C4" s="3" t="inlineStr">
        <is>
          <t>Extraction Status</t>
        </is>
      </c>
    </row>
    <row r="5">
      <c r="A5" s="4" t="inlineStr">
        <is>
          <t>Lead</t>
        </is>
      </c>
      <c r="B5" s="4" t="inlineStr">
        <is>
          <t>Technology</t>
        </is>
      </c>
      <c r="C5" s="4" t="inlineStr">
        <is>
          <t>Success</t>
        </is>
      </c>
    </row>
    <row r="6">
      <c r="A6" s="4" t="inlineStr">
        <is>
          <t>Opportunity</t>
        </is>
      </c>
      <c r="B6" s="4" t="inlineStr">
        <is>
          <t>Healthcare/Medical</t>
        </is>
      </c>
      <c r="C6" s="4" t="inlineStr">
        <is>
          <t>Needs Review</t>
        </is>
      </c>
    </row>
    <row r="7">
      <c r="A7" s="4" t="inlineStr">
        <is>
          <t>Client</t>
        </is>
      </c>
      <c r="B7" s="4" t="inlineStr">
        <is>
          <t>Finance/Banking</t>
        </is>
      </c>
      <c r="C7" s="4" t="inlineStr">
        <is>
          <t>Manual Verification Required</t>
        </is>
      </c>
    </row>
    <row r="8">
      <c r="A8" s="4" t="inlineStr">
        <is>
          <t>Supplier/Vendor</t>
        </is>
      </c>
      <c r="B8" s="4" t="inlineStr">
        <is>
          <t>Education</t>
        </is>
      </c>
      <c r="C8" s="4" t="inlineStr"/>
    </row>
    <row r="9">
      <c r="A9" s="4" t="inlineStr">
        <is>
          <t>Partner</t>
        </is>
      </c>
      <c r="B9" s="4" t="inlineStr">
        <is>
          <t>Manufacturing</t>
        </is>
      </c>
      <c r="C9" s="4" t="inlineStr"/>
    </row>
    <row r="10">
      <c r="A10" s="4" t="inlineStr">
        <is>
          <t>Inbound Call</t>
        </is>
      </c>
      <c r="B10" s="4" t="inlineStr">
        <is>
          <t>Real Estate</t>
        </is>
      </c>
      <c r="C10" s="4" t="inlineStr"/>
    </row>
    <row r="11">
      <c r="A11" s="4" t="inlineStr">
        <is>
          <t>Junk/Unqualified</t>
        </is>
      </c>
      <c r="B11" s="4" t="inlineStr">
        <is>
          <t>Professional Services</t>
        </is>
      </c>
      <c r="C11" s="4" t="inlineStr"/>
    </row>
    <row r="12">
      <c r="A12" s="4" t="inlineStr"/>
      <c r="B12" s="4" t="inlineStr">
        <is>
          <t>Retail/Commerce</t>
        </is>
      </c>
      <c r="C12" s="4" t="inlineStr"/>
    </row>
    <row r="13">
      <c r="A13" s="4" t="inlineStr"/>
      <c r="B13" s="4" t="inlineStr">
        <is>
          <t>Other</t>
        </is>
      </c>
      <c r="C1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30" customWidth="1" min="4" max="4"/>
    <col width="24" customWidth="1" min="5" max="5"/>
    <col width="20" customWidth="1" min="6" max="6"/>
    <col width="28" customWidth="1" min="7" max="7"/>
    <col width="15" customWidth="1" min="8" max="8"/>
    <col width="19" customWidth="1" min="9" max="9"/>
    <col width="22" customWidth="1" min="10" max="10"/>
    <col width="16" customWidth="1" min="11" max="11"/>
    <col width="17" customWidth="1" min="12" max="12"/>
    <col width="12" customWidth="1" min="13" max="13"/>
    <col width="13" customWidth="1" min="14" max="14"/>
    <col width="21" customWidth="1" min="15" max="15"/>
    <col width="24" customWidth="1" min="16" max="16"/>
    <col width="20" customWidth="1" min="17" max="17"/>
    <col width="40" customWidth="1" min="18" max="18"/>
  </cols>
  <sheetData>
    <row r="1">
      <c r="A1" s="7" t="inlineStr">
        <is>
          <t>CardScan Contact Database</t>
        </is>
      </c>
    </row>
    <row r="2">
      <c r="A2" s="2" t="inlineStr">
        <is>
          <t>Master list of scanned visiting cards with structured CRM export fields.</t>
        </is>
      </c>
    </row>
    <row r="3"/>
    <row r="4" ht="28" customHeight="1">
      <c r="A4" s="8" t="inlineStr">
        <is>
          <t>Card ID</t>
        </is>
      </c>
      <c r="B4" s="8" t="inlineStr">
        <is>
          <t>First Name</t>
        </is>
      </c>
      <c r="C4" s="8" t="inlineStr">
        <is>
          <t>Last Name</t>
        </is>
      </c>
      <c r="D4" s="8" t="inlineStr">
        <is>
          <t>Full Name (Formula)</t>
        </is>
      </c>
      <c r="E4" s="8" t="inlineStr">
        <is>
          <t>Job Title</t>
        </is>
      </c>
      <c r="F4" s="8" t="inlineStr">
        <is>
          <t>Company</t>
        </is>
      </c>
      <c r="G4" s="8" t="inlineStr">
        <is>
          <t>Email Address</t>
        </is>
      </c>
      <c r="H4" s="8" t="inlineStr">
        <is>
          <t>Mobile Phone</t>
        </is>
      </c>
      <c r="I4" s="8" t="inlineStr">
        <is>
          <t>Work Phone</t>
        </is>
      </c>
      <c r="J4" s="8" t="inlineStr">
        <is>
          <t>Website</t>
        </is>
      </c>
      <c r="K4" s="8" t="inlineStr">
        <is>
          <t>City</t>
        </is>
      </c>
      <c r="L4" s="8" t="inlineStr">
        <is>
          <t>State/Province</t>
        </is>
      </c>
      <c r="M4" s="8" t="inlineStr">
        <is>
          <t>Country</t>
        </is>
      </c>
      <c r="N4" s="8" t="inlineStr">
        <is>
          <t>Scan Date</t>
        </is>
      </c>
      <c r="O4" s="8" t="inlineStr">
        <is>
          <t>Relationship Stage</t>
        </is>
      </c>
      <c r="P4" s="8" t="inlineStr">
        <is>
          <t>Industry Group</t>
        </is>
      </c>
      <c r="Q4" s="8" t="inlineStr">
        <is>
          <t>Extraction Status</t>
        </is>
      </c>
      <c r="R4" s="8" t="inlineStr">
        <is>
          <t>Raw OCR Text</t>
        </is>
      </c>
    </row>
    <row r="5" ht="20" customHeight="1">
      <c r="A5" s="9" t="n">
        <v>1001</v>
      </c>
      <c r="B5" s="4" t="inlineStr">
        <is>
          <t>Alice</t>
        </is>
      </c>
      <c r="C5" s="4" t="inlineStr">
        <is>
          <t>Smith</t>
        </is>
      </c>
      <c r="D5" s="10">
        <f>CLEAN(TRIM(B5 &amp; " " &amp; C5))</f>
        <v/>
      </c>
      <c r="E5" s="4" t="inlineStr">
        <is>
          <t>VP of Sales</t>
        </is>
      </c>
      <c r="F5" s="4" t="inlineStr">
        <is>
          <t>Apex Solutions</t>
        </is>
      </c>
      <c r="G5" s="4" t="inlineStr">
        <is>
          <t>alice.smith@apex.com</t>
        </is>
      </c>
      <c r="H5" s="4" t="inlineStr">
        <is>
          <t>+1-555-0199</t>
        </is>
      </c>
      <c r="I5" s="4" t="inlineStr">
        <is>
          <t>+1-555-0100</t>
        </is>
      </c>
      <c r="J5" s="4" t="inlineStr">
        <is>
          <t>www.apex.com</t>
        </is>
      </c>
      <c r="K5" s="4" t="inlineStr">
        <is>
          <t>San Francisco</t>
        </is>
      </c>
      <c r="L5" s="4" t="inlineStr">
        <is>
          <t>CA</t>
        </is>
      </c>
      <c r="M5" s="4" t="inlineStr">
        <is>
          <t>USA</t>
        </is>
      </c>
      <c r="N5" s="9" t="inlineStr">
        <is>
          <t>2026-07-01</t>
        </is>
      </c>
      <c r="O5" s="9" t="inlineStr">
        <is>
          <t>Lead</t>
        </is>
      </c>
      <c r="P5" s="9" t="inlineStr">
        <is>
          <t>Technology</t>
        </is>
      </c>
      <c r="Q5" s="9" t="inlineStr">
        <is>
          <t>Success</t>
        </is>
      </c>
      <c r="R5" s="4" t="inlineStr">
        <is>
          <t>APEX SOLUTIONS
Alice Smith
VP of Sales
Office: 555-0100
Cell: 555-0199
alice.smith@apex.com
www.apex.com</t>
        </is>
      </c>
    </row>
    <row r="6" ht="20" customHeight="1">
      <c r="A6" s="9" t="n">
        <v>1002</v>
      </c>
      <c r="B6" s="4" t="inlineStr">
        <is>
          <t>Bob</t>
        </is>
      </c>
      <c r="C6" s="4" t="inlineStr">
        <is>
          <t>Jones</t>
        </is>
      </c>
      <c r="D6" s="10">
        <f>CLEAN(TRIM(B6 &amp; " " &amp; C6))</f>
        <v/>
      </c>
      <c r="E6" s="4" t="inlineStr">
        <is>
          <t>Founder &amp; CEO</t>
        </is>
      </c>
      <c r="F6" s="4" t="inlineStr">
        <is>
          <t>Jones &amp; Co LLC</t>
        </is>
      </c>
      <c r="G6" s="4" t="inlineStr">
        <is>
          <t>bob@jonesco.io</t>
        </is>
      </c>
      <c r="H6" s="4" t="inlineStr">
        <is>
          <t>+1-555-8833</t>
        </is>
      </c>
      <c r="I6" s="4" t="inlineStr"/>
      <c r="J6" s="4" t="inlineStr">
        <is>
          <t>jonesco.io</t>
        </is>
      </c>
      <c r="K6" s="4" t="inlineStr">
        <is>
          <t>Austin</t>
        </is>
      </c>
      <c r="L6" s="4" t="inlineStr">
        <is>
          <t>TX</t>
        </is>
      </c>
      <c r="M6" s="4" t="inlineStr">
        <is>
          <t>USA</t>
        </is>
      </c>
      <c r="N6" s="9" t="inlineStr">
        <is>
          <t>2026-07-05</t>
        </is>
      </c>
      <c r="O6" s="9" t="inlineStr">
        <is>
          <t>Opportunity</t>
        </is>
      </c>
      <c r="P6" s="9" t="inlineStr">
        <is>
          <t>Professional Services</t>
        </is>
      </c>
      <c r="Q6" s="9" t="inlineStr">
        <is>
          <t>Success</t>
        </is>
      </c>
      <c r="R6" s="4" t="inlineStr">
        <is>
          <t>JONES &amp; CO LLC
Bob Jones
Founder &amp; CEO
Cell: 555-8833
bob@jonesco.io
jonesco.io</t>
        </is>
      </c>
    </row>
    <row r="7" ht="20" customHeight="1">
      <c r="A7" s="9" t="n">
        <v>1003</v>
      </c>
      <c r="B7" s="4" t="inlineStr">
        <is>
          <t>Carla</t>
        </is>
      </c>
      <c r="C7" s="4" t="inlineStr">
        <is>
          <t>Mendoza</t>
        </is>
      </c>
      <c r="D7" s="10">
        <f>CLEAN(TRIM(B7 &amp; " " &amp; C7))</f>
        <v/>
      </c>
      <c r="E7" s="4" t="inlineStr">
        <is>
          <t>Chief Medical Officer</t>
        </is>
      </c>
      <c r="F7" s="4" t="inlineStr">
        <is>
          <t>HealthFirst Group</t>
        </is>
      </c>
      <c r="G7" s="4" t="inlineStr">
        <is>
          <t>c.mendoza@healthfirst.org</t>
        </is>
      </c>
      <c r="H7" s="4" t="inlineStr">
        <is>
          <t>+1-555-2244</t>
        </is>
      </c>
      <c r="I7" s="4" t="inlineStr">
        <is>
          <t>+1-555-2200</t>
        </is>
      </c>
      <c r="J7" s="4" t="inlineStr">
        <is>
          <t>www.healthfirst.org</t>
        </is>
      </c>
      <c r="K7" s="4" t="inlineStr">
        <is>
          <t>Boston</t>
        </is>
      </c>
      <c r="L7" s="4" t="inlineStr">
        <is>
          <t>MA</t>
        </is>
      </c>
      <c r="M7" s="4" t="inlineStr">
        <is>
          <t>USA</t>
        </is>
      </c>
      <c r="N7" s="9" t="inlineStr">
        <is>
          <t>2026-07-10</t>
        </is>
      </c>
      <c r="O7" s="9" t="inlineStr">
        <is>
          <t>Client</t>
        </is>
      </c>
      <c r="P7" s="9" t="inlineStr">
        <is>
          <t>Healthcare/Medical</t>
        </is>
      </c>
      <c r="Q7" s="9" t="inlineStr">
        <is>
          <t>Needs Review</t>
        </is>
      </c>
      <c r="R7" s="4" t="inlineStr">
        <is>
          <t>HealthFirst Medical Group
Dr. Carla Mendoza
CMO
c.mendoza@healthfirst.org
Direct: 555-2244
Main: 555-2200</t>
        </is>
      </c>
    </row>
    <row r="8" ht="20" customHeight="1">
      <c r="A8" s="9" t="n">
        <v>1004</v>
      </c>
      <c r="B8" s="4" t="inlineStr">
        <is>
          <t>David</t>
        </is>
      </c>
      <c r="C8" s="4" t="inlineStr">
        <is>
          <t>Lee</t>
        </is>
      </c>
      <c r="D8" s="10">
        <f>CLEAN(TRIM(B8 &amp; " " &amp; C8))</f>
        <v/>
      </c>
      <c r="E8" s="4" t="inlineStr">
        <is>
          <t>Purchasing Manager</t>
        </is>
      </c>
      <c r="F8" s="4" t="inlineStr">
        <is>
          <t>OmniCorp Ltd</t>
        </is>
      </c>
      <c r="G8" s="4" t="inlineStr">
        <is>
          <t>d.lee@omnicorp.co.uk</t>
        </is>
      </c>
      <c r="H8" s="4" t="inlineStr"/>
      <c r="I8" s="4" t="inlineStr">
        <is>
          <t>+44-20-7946-0958</t>
        </is>
      </c>
      <c r="J8" s="4" t="inlineStr">
        <is>
          <t>omnicorp.co.uk</t>
        </is>
      </c>
      <c r="K8" s="4" t="inlineStr">
        <is>
          <t>London</t>
        </is>
      </c>
      <c r="L8" s="4" t="inlineStr">
        <is>
          <t>Greater London</t>
        </is>
      </c>
      <c r="M8" s="4" t="inlineStr">
        <is>
          <t>UK</t>
        </is>
      </c>
      <c r="N8" s="9" t="inlineStr">
        <is>
          <t>2026-07-12</t>
        </is>
      </c>
      <c r="O8" s="9" t="inlineStr">
        <is>
          <t>Supplier/Vendor</t>
        </is>
      </c>
      <c r="P8" s="9" t="inlineStr">
        <is>
          <t>Manufacturing</t>
        </is>
      </c>
      <c r="Q8" s="9" t="inlineStr">
        <is>
          <t>Success</t>
        </is>
      </c>
      <c r="R8" s="4" t="inlineStr">
        <is>
          <t>OMNICORP LTD
David Lee
Purchasing Manager
Phone: +44 20 7946 0958
d.lee@omnicorp.co.uk</t>
        </is>
      </c>
    </row>
    <row r="9" ht="20" customHeight="1">
      <c r="A9" s="9" t="n"/>
      <c r="B9" s="4" t="n"/>
      <c r="C9" s="4" t="n"/>
      <c r="D9" s="10">
        <f>IF(AND(ISBLANK(B9),ISBLANK(C9)), "", CLEAN(TRIM(B9 &amp; " " &amp; C9)))</f>
        <v/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9" t="n"/>
      <c r="O9" s="9" t="n"/>
      <c r="P9" s="9" t="n"/>
      <c r="Q9" s="9" t="n"/>
      <c r="R9" s="4" t="n"/>
    </row>
    <row r="10" ht="20" customHeight="1">
      <c r="A10" s="9" t="n"/>
      <c r="B10" s="4" t="n"/>
      <c r="C10" s="4" t="n"/>
      <c r="D10" s="10">
        <f>IF(AND(ISBLANK(B10),ISBLANK(C10)), "", CLEAN(TRIM(B10 &amp; " " &amp; C10)))</f>
        <v/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9" t="n"/>
      <c r="O10" s="9" t="n"/>
      <c r="P10" s="9" t="n"/>
      <c r="Q10" s="9" t="n"/>
      <c r="R10" s="4" t="n"/>
    </row>
    <row r="11" ht="20" customHeight="1">
      <c r="A11" s="9" t="n"/>
      <c r="B11" s="4" t="n"/>
      <c r="C11" s="4" t="n"/>
      <c r="D11" s="10">
        <f>IF(AND(ISBLANK(B11),ISBLANK(C11)), "", CLEAN(TRIM(B11 &amp; " " &amp; C11)))</f>
        <v/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9" t="n"/>
      <c r="O11" s="9" t="n"/>
      <c r="P11" s="9" t="n"/>
      <c r="Q11" s="9" t="n"/>
      <c r="R11" s="4" t="n"/>
    </row>
    <row r="12" ht="20" customHeight="1">
      <c r="A12" s="9" t="n"/>
      <c r="B12" s="4" t="n"/>
      <c r="C12" s="4" t="n"/>
      <c r="D12" s="10">
        <f>IF(AND(ISBLANK(B12),ISBLANK(C12)), "", CLEAN(TRIM(B12 &amp; " " &amp; C12)))</f>
        <v/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9" t="n"/>
      <c r="O12" s="9" t="n"/>
      <c r="P12" s="9" t="n"/>
      <c r="Q12" s="9" t="n"/>
      <c r="R12" s="4" t="n"/>
    </row>
    <row r="13" ht="20" customHeight="1">
      <c r="A13" s="9" t="n"/>
      <c r="B13" s="4" t="n"/>
      <c r="C13" s="4" t="n"/>
      <c r="D13" s="10">
        <f>IF(AND(ISBLANK(B13),ISBLANK(C13)), "", CLEAN(TRIM(B13 &amp; " " &amp; C13)))</f>
        <v/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9" t="n"/>
      <c r="O13" s="9" t="n"/>
      <c r="P13" s="9" t="n"/>
      <c r="Q13" s="9" t="n"/>
      <c r="R13" s="4" t="n"/>
    </row>
    <row r="14" ht="20" customHeight="1">
      <c r="A14" s="9" t="n"/>
      <c r="B14" s="4" t="n"/>
      <c r="C14" s="4" t="n"/>
      <c r="D14" s="10">
        <f>IF(AND(ISBLANK(B14),ISBLANK(C14)), "", CLEAN(TRIM(B14 &amp; " " &amp; C14)))</f>
        <v/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9" t="n"/>
      <c r="O14" s="9" t="n"/>
      <c r="P14" s="9" t="n"/>
      <c r="Q14" s="9" t="n"/>
      <c r="R14" s="4" t="n"/>
    </row>
    <row r="15" ht="20" customHeight="1">
      <c r="A15" s="9" t="n"/>
      <c r="B15" s="4" t="n"/>
      <c r="C15" s="4" t="n"/>
      <c r="D15" s="10">
        <f>IF(AND(ISBLANK(B15),ISBLANK(C15)), "", CLEAN(TRIM(B15 &amp; " " &amp; C15)))</f>
        <v/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9" t="n"/>
      <c r="O15" s="9" t="n"/>
      <c r="P15" s="9" t="n"/>
      <c r="Q15" s="9" t="n"/>
      <c r="R15" s="4" t="n"/>
    </row>
    <row r="16" ht="20" customHeight="1">
      <c r="A16" s="9" t="n"/>
      <c r="B16" s="4" t="n"/>
      <c r="C16" s="4" t="n"/>
      <c r="D16" s="10">
        <f>IF(AND(ISBLANK(B16),ISBLANK(C16)), "", CLEAN(TRIM(B16 &amp; " " &amp; C16)))</f>
        <v/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9" t="n"/>
      <c r="O16" s="9" t="n"/>
      <c r="P16" s="9" t="n"/>
      <c r="Q16" s="9" t="n"/>
      <c r="R16" s="4" t="n"/>
    </row>
    <row r="17" ht="20" customHeight="1">
      <c r="A17" s="9" t="n"/>
      <c r="B17" s="4" t="n"/>
      <c r="C17" s="4" t="n"/>
      <c r="D17" s="10">
        <f>IF(AND(ISBLANK(B17),ISBLANK(C17)), "", CLEAN(TRIM(B17 &amp; " " &amp; C17)))</f>
        <v/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9" t="n"/>
      <c r="O17" s="9" t="n"/>
      <c r="P17" s="9" t="n"/>
      <c r="Q17" s="9" t="n"/>
      <c r="R17" s="4" t="n"/>
    </row>
    <row r="18" ht="20" customHeight="1">
      <c r="A18" s="9" t="n"/>
      <c r="B18" s="4" t="n"/>
      <c r="C18" s="4" t="n"/>
      <c r="D18" s="10">
        <f>IF(AND(ISBLANK(B18),ISBLANK(C18)), "", CLEAN(TRIM(B18 &amp; " " &amp; C18)))</f>
        <v/>
      </c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9" t="n"/>
      <c r="O18" s="9" t="n"/>
      <c r="P18" s="9" t="n"/>
      <c r="Q18" s="9" t="n"/>
      <c r="R18" s="4" t="n"/>
    </row>
    <row r="19" ht="20" customHeight="1">
      <c r="A19" s="9" t="n"/>
      <c r="B19" s="4" t="n"/>
      <c r="C19" s="4" t="n"/>
      <c r="D19" s="10">
        <f>IF(AND(ISBLANK(B19),ISBLANK(C19)), "", CLEAN(TRIM(B19 &amp; " " &amp; C19)))</f>
        <v/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9" t="n"/>
      <c r="O19" s="9" t="n"/>
      <c r="P19" s="9" t="n"/>
      <c r="Q19" s="9" t="n"/>
      <c r="R19" s="4" t="n"/>
    </row>
    <row r="20" ht="20" customHeight="1">
      <c r="A20" s="9" t="n"/>
      <c r="B20" s="4" t="n"/>
      <c r="C20" s="4" t="n"/>
      <c r="D20" s="10">
        <f>IF(AND(ISBLANK(B20),ISBLANK(C20)), "", CLEAN(TRIM(B20 &amp; " " &amp; C20)))</f>
        <v/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9" t="n"/>
      <c r="O20" s="9" t="n"/>
      <c r="P20" s="9" t="n"/>
      <c r="Q20" s="9" t="n"/>
      <c r="R20" s="4" t="n"/>
    </row>
    <row r="21" ht="20" customHeight="1">
      <c r="A21" s="9" t="n"/>
      <c r="B21" s="4" t="n"/>
      <c r="C21" s="4" t="n"/>
      <c r="D21" s="10">
        <f>IF(AND(ISBLANK(B21),ISBLANK(C21)), "", CLEAN(TRIM(B21 &amp; " " &amp; C21)))</f>
        <v/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9" t="n"/>
      <c r="O21" s="9" t="n"/>
      <c r="P21" s="9" t="n"/>
      <c r="Q21" s="9" t="n"/>
      <c r="R21" s="4" t="n"/>
    </row>
    <row r="22" ht="20" customHeight="1">
      <c r="A22" s="9" t="n"/>
      <c r="B22" s="4" t="n"/>
      <c r="C22" s="4" t="n"/>
      <c r="D22" s="10">
        <f>IF(AND(ISBLANK(B22),ISBLANK(C22)), "", CLEAN(TRIM(B22 &amp; " " &amp; C22)))</f>
        <v/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9" t="n"/>
      <c r="O22" s="9" t="n"/>
      <c r="P22" s="9" t="n"/>
      <c r="Q22" s="9" t="n"/>
      <c r="R22" s="4" t="n"/>
    </row>
    <row r="23" ht="20" customHeight="1">
      <c r="A23" s="9" t="n"/>
      <c r="B23" s="4" t="n"/>
      <c r="C23" s="4" t="n"/>
      <c r="D23" s="10">
        <f>IF(AND(ISBLANK(B23),ISBLANK(C23)), "", CLEAN(TRIM(B23 &amp; " " &amp; C23)))</f>
        <v/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9" t="n"/>
      <c r="O23" s="9" t="n"/>
      <c r="P23" s="9" t="n"/>
      <c r="Q23" s="9" t="n"/>
      <c r="R23" s="4" t="n"/>
    </row>
    <row r="24" ht="20" customHeight="1">
      <c r="A24" s="9" t="n"/>
      <c r="B24" s="4" t="n"/>
      <c r="C24" s="4" t="n"/>
      <c r="D24" s="10">
        <f>IF(AND(ISBLANK(B24),ISBLANK(C24)), "", CLEAN(TRIM(B24 &amp; " " &amp; C24)))</f>
        <v/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9" t="n"/>
      <c r="O24" s="9" t="n"/>
      <c r="P24" s="9" t="n"/>
      <c r="Q24" s="9" t="n"/>
      <c r="R24" s="4" t="n"/>
    </row>
    <row r="25" ht="20" customHeight="1">
      <c r="A25" s="9" t="n"/>
      <c r="B25" s="4" t="n"/>
      <c r="C25" s="4" t="n"/>
      <c r="D25" s="10">
        <f>IF(AND(ISBLANK(B25),ISBLANK(C25)), "", CLEAN(TRIM(B25 &amp; " " &amp; C25)))</f>
        <v/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9" t="n"/>
      <c r="O25" s="9" t="n"/>
      <c r="P25" s="9" t="n"/>
      <c r="Q25" s="9" t="n"/>
      <c r="R25" s="4" t="n"/>
    </row>
    <row r="26" ht="20" customHeight="1">
      <c r="A26" s="9" t="n"/>
      <c r="B26" s="4" t="n"/>
      <c r="C26" s="4" t="n"/>
      <c r="D26" s="10">
        <f>IF(AND(ISBLANK(B26),ISBLANK(C26)), "", CLEAN(TRIM(B26 &amp; " " &amp; C26)))</f>
        <v/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9" t="n"/>
      <c r="O26" s="9" t="n"/>
      <c r="P26" s="9" t="n"/>
      <c r="Q26" s="9" t="n"/>
      <c r="R26" s="4" t="n"/>
    </row>
    <row r="27" ht="20" customHeight="1">
      <c r="A27" s="9" t="n"/>
      <c r="B27" s="4" t="n"/>
      <c r="C27" s="4" t="n"/>
      <c r="D27" s="10">
        <f>IF(AND(ISBLANK(B27),ISBLANK(C27)), "", CLEAN(TRIM(B27 &amp; " " &amp; C27)))</f>
        <v/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9" t="n"/>
      <c r="O27" s="9" t="n"/>
      <c r="P27" s="9" t="n"/>
      <c r="Q27" s="9" t="n"/>
      <c r="R27" s="4" t="n"/>
    </row>
    <row r="28" ht="20" customHeight="1">
      <c r="A28" s="9" t="n"/>
      <c r="B28" s="4" t="n"/>
      <c r="C28" s="4" t="n"/>
      <c r="D28" s="10">
        <f>IF(AND(ISBLANK(B28),ISBLANK(C28)), "", CLEAN(TRIM(B28 &amp; " " &amp; C28)))</f>
        <v/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9" t="n"/>
      <c r="O28" s="9" t="n"/>
      <c r="P28" s="9" t="n"/>
      <c r="Q28" s="9" t="n"/>
      <c r="R28" s="4" t="n"/>
    </row>
    <row r="29" ht="20" customHeight="1">
      <c r="A29" s="9" t="n"/>
      <c r="B29" s="4" t="n"/>
      <c r="C29" s="4" t="n"/>
      <c r="D29" s="10">
        <f>IF(AND(ISBLANK(B29),ISBLANK(C29)), "", CLEAN(TRIM(B29 &amp; " " &amp; C29)))</f>
        <v/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9" t="n"/>
      <c r="O29" s="9" t="n"/>
      <c r="P29" s="9" t="n"/>
      <c r="Q29" s="9" t="n"/>
      <c r="R29" s="4" t="n"/>
    </row>
    <row r="30" ht="20" customHeight="1">
      <c r="A30" s="9" t="n"/>
      <c r="B30" s="4" t="n"/>
      <c r="C30" s="4" t="n"/>
      <c r="D30" s="10">
        <f>IF(AND(ISBLANK(B30),ISBLANK(C30)), "", CLEAN(TRIM(B30 &amp; " " &amp; C30)))</f>
        <v/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9" t="n"/>
      <c r="O30" s="9" t="n"/>
      <c r="P30" s="9" t="n"/>
      <c r="Q30" s="9" t="n"/>
      <c r="R30" s="4" t="n"/>
    </row>
    <row r="31" ht="20" customHeight="1">
      <c r="A31" s="9" t="n"/>
      <c r="B31" s="4" t="n"/>
      <c r="C31" s="4" t="n"/>
      <c r="D31" s="10">
        <f>IF(AND(ISBLANK(B31),ISBLANK(C31)), "", CLEAN(TRIM(B31 &amp; " " &amp; C31)))</f>
        <v/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9" t="n"/>
      <c r="O31" s="9" t="n"/>
      <c r="P31" s="9" t="n"/>
      <c r="Q31" s="9" t="n"/>
      <c r="R31" s="4" t="n"/>
    </row>
    <row r="32" ht="20" customHeight="1">
      <c r="A32" s="9" t="n"/>
      <c r="B32" s="4" t="n"/>
      <c r="C32" s="4" t="n"/>
      <c r="D32" s="10">
        <f>IF(AND(ISBLANK(B32),ISBLANK(C32)), "", CLEAN(TRIM(B32 &amp; " " &amp; C32)))</f>
        <v/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9" t="n"/>
      <c r="O32" s="9" t="n"/>
      <c r="P32" s="9" t="n"/>
      <c r="Q32" s="9" t="n"/>
      <c r="R32" s="4" t="n"/>
    </row>
    <row r="33" ht="20" customHeight="1">
      <c r="A33" s="9" t="n"/>
      <c r="B33" s="4" t="n"/>
      <c r="C33" s="4" t="n"/>
      <c r="D33" s="10">
        <f>IF(AND(ISBLANK(B33),ISBLANK(C33)), "", CLEAN(TRIM(B33 &amp; " " &amp; C33)))</f>
        <v/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9" t="n"/>
      <c r="O33" s="9" t="n"/>
      <c r="P33" s="9" t="n"/>
      <c r="Q33" s="9" t="n"/>
      <c r="R33" s="4" t="n"/>
    </row>
    <row r="34" ht="20" customHeight="1">
      <c r="A34" s="9" t="n"/>
      <c r="B34" s="4" t="n"/>
      <c r="C34" s="4" t="n"/>
      <c r="D34" s="10">
        <f>IF(AND(ISBLANK(B34),ISBLANK(C34)), "", CLEAN(TRIM(B34 &amp; " " &amp; C34)))</f>
        <v/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9" t="n"/>
      <c r="O34" s="9" t="n"/>
      <c r="P34" s="9" t="n"/>
      <c r="Q34" s="9" t="n"/>
      <c r="R34" s="4" t="n"/>
    </row>
    <row r="35" ht="20" customHeight="1">
      <c r="A35" s="9" t="n"/>
      <c r="B35" s="4" t="n"/>
      <c r="C35" s="4" t="n"/>
      <c r="D35" s="10">
        <f>IF(AND(ISBLANK(B35),ISBLANK(C35)), "", CLEAN(TRIM(B35 &amp; " " &amp; C35)))</f>
        <v/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9" t="n"/>
      <c r="O35" s="9" t="n"/>
      <c r="P35" s="9" t="n"/>
      <c r="Q35" s="9" t="n"/>
      <c r="R35" s="4" t="n"/>
    </row>
    <row r="36" ht="20" customHeight="1">
      <c r="A36" s="9" t="n"/>
      <c r="B36" s="4" t="n"/>
      <c r="C36" s="4" t="n"/>
      <c r="D36" s="10">
        <f>IF(AND(ISBLANK(B36),ISBLANK(C36)), "", CLEAN(TRIM(B36 &amp; " " &amp; C36)))</f>
        <v/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9" t="n"/>
      <c r="O36" s="9" t="n"/>
      <c r="P36" s="9" t="n"/>
      <c r="Q36" s="9" t="n"/>
      <c r="R36" s="4" t="n"/>
    </row>
    <row r="37" ht="20" customHeight="1">
      <c r="A37" s="9" t="n"/>
      <c r="B37" s="4" t="n"/>
      <c r="C37" s="4" t="n"/>
      <c r="D37" s="10">
        <f>IF(AND(ISBLANK(B37),ISBLANK(C37)), "", CLEAN(TRIM(B37 &amp; " " &amp; C37)))</f>
        <v/>
      </c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9" t="n"/>
      <c r="O37" s="9" t="n"/>
      <c r="P37" s="9" t="n"/>
      <c r="Q37" s="9" t="n"/>
      <c r="R37" s="4" t="n"/>
    </row>
    <row r="38" ht="20" customHeight="1">
      <c r="A38" s="9" t="n"/>
      <c r="B38" s="4" t="n"/>
      <c r="C38" s="4" t="n"/>
      <c r="D38" s="10">
        <f>IF(AND(ISBLANK(B38),ISBLANK(C38)), "", CLEAN(TRIM(B38 &amp; " " &amp; C38)))</f>
        <v/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9" t="n"/>
      <c r="O38" s="9" t="n"/>
      <c r="P38" s="9" t="n"/>
      <c r="Q38" s="9" t="n"/>
      <c r="R38" s="4" t="n"/>
    </row>
    <row r="39" ht="20" customHeight="1">
      <c r="A39" s="9" t="n"/>
      <c r="B39" s="4" t="n"/>
      <c r="C39" s="4" t="n"/>
      <c r="D39" s="10">
        <f>IF(AND(ISBLANK(B39),ISBLANK(C39)), "", CLEAN(TRIM(B39 &amp; " " &amp; C39)))</f>
        <v/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9" t="n"/>
      <c r="O39" s="9" t="n"/>
      <c r="P39" s="9" t="n"/>
      <c r="Q39" s="9" t="n"/>
      <c r="R39" s="4" t="n"/>
    </row>
    <row r="40" ht="20" customHeight="1">
      <c r="A40" s="9" t="n"/>
      <c r="B40" s="4" t="n"/>
      <c r="C40" s="4" t="n"/>
      <c r="D40" s="10">
        <f>IF(AND(ISBLANK(B40),ISBLANK(C40)), "", CLEAN(TRIM(B40 &amp; " " &amp; C40)))</f>
        <v/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9" t="n"/>
      <c r="O40" s="9" t="n"/>
      <c r="P40" s="9" t="n"/>
      <c r="Q40" s="9" t="n"/>
      <c r="R40" s="4" t="n"/>
    </row>
    <row r="41" ht="20" customHeight="1">
      <c r="A41" s="9" t="n"/>
      <c r="B41" s="4" t="n"/>
      <c r="C41" s="4" t="n"/>
      <c r="D41" s="10">
        <f>IF(AND(ISBLANK(B41),ISBLANK(C41)), "", CLEAN(TRIM(B41 &amp; " " &amp; C41)))</f>
        <v/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9" t="n"/>
      <c r="O41" s="9" t="n"/>
      <c r="P41" s="9" t="n"/>
      <c r="Q41" s="9" t="n"/>
      <c r="R41" s="4" t="n"/>
    </row>
    <row r="42" ht="20" customHeight="1">
      <c r="A42" s="9" t="n"/>
      <c r="B42" s="4" t="n"/>
      <c r="C42" s="4" t="n"/>
      <c r="D42" s="10">
        <f>IF(AND(ISBLANK(B42),ISBLANK(C42)), "", CLEAN(TRIM(B42 &amp; " " &amp; C42)))</f>
        <v/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9" t="n"/>
      <c r="O42" s="9" t="n"/>
      <c r="P42" s="9" t="n"/>
      <c r="Q42" s="9" t="n"/>
      <c r="R42" s="4" t="n"/>
    </row>
    <row r="43" ht="20" customHeight="1">
      <c r="A43" s="9" t="n"/>
      <c r="B43" s="4" t="n"/>
      <c r="C43" s="4" t="n"/>
      <c r="D43" s="10">
        <f>IF(AND(ISBLANK(B43),ISBLANK(C43)), "", CLEAN(TRIM(B43 &amp; " " &amp; C43)))</f>
        <v/>
      </c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9" t="n"/>
      <c r="O43" s="9" t="n"/>
      <c r="P43" s="9" t="n"/>
      <c r="Q43" s="9" t="n"/>
      <c r="R43" s="4" t="n"/>
    </row>
    <row r="44" ht="20" customHeight="1">
      <c r="A44" s="9" t="n"/>
      <c r="B44" s="4" t="n"/>
      <c r="C44" s="4" t="n"/>
      <c r="D44" s="10">
        <f>IF(AND(ISBLANK(B44),ISBLANK(C44)), "", CLEAN(TRIM(B44 &amp; " " &amp; C44)))</f>
        <v/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9" t="n"/>
      <c r="O44" s="9" t="n"/>
      <c r="P44" s="9" t="n"/>
      <c r="Q44" s="9" t="n"/>
      <c r="R44" s="4" t="n"/>
    </row>
    <row r="45" ht="20" customHeight="1">
      <c r="A45" s="9" t="n"/>
      <c r="B45" s="4" t="n"/>
      <c r="C45" s="4" t="n"/>
      <c r="D45" s="10">
        <f>IF(AND(ISBLANK(B45),ISBLANK(C45)), "", CLEAN(TRIM(B45 &amp; " " &amp; C45)))</f>
        <v/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9" t="n"/>
      <c r="O45" s="9" t="n"/>
      <c r="P45" s="9" t="n"/>
      <c r="Q45" s="9" t="n"/>
      <c r="R45" s="4" t="n"/>
    </row>
    <row r="46" ht="20" customHeight="1">
      <c r="A46" s="9" t="n"/>
      <c r="B46" s="4" t="n"/>
      <c r="C46" s="4" t="n"/>
      <c r="D46" s="10">
        <f>IF(AND(ISBLANK(B46),ISBLANK(C46)), "", CLEAN(TRIM(B46 &amp; " " &amp; C46)))</f>
        <v/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9" t="n"/>
      <c r="O46" s="9" t="n"/>
      <c r="P46" s="9" t="n"/>
      <c r="Q46" s="9" t="n"/>
      <c r="R46" s="4" t="n"/>
    </row>
    <row r="47" ht="20" customHeight="1">
      <c r="A47" s="9" t="n"/>
      <c r="B47" s="4" t="n"/>
      <c r="C47" s="4" t="n"/>
      <c r="D47" s="10">
        <f>IF(AND(ISBLANK(B47),ISBLANK(C47)), "", CLEAN(TRIM(B47 &amp; " " &amp; C47)))</f>
        <v/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9" t="n"/>
      <c r="O47" s="9" t="n"/>
      <c r="P47" s="9" t="n"/>
      <c r="Q47" s="9" t="n"/>
      <c r="R47" s="4" t="n"/>
    </row>
    <row r="48" ht="20" customHeight="1">
      <c r="A48" s="9" t="n"/>
      <c r="B48" s="4" t="n"/>
      <c r="C48" s="4" t="n"/>
      <c r="D48" s="10">
        <f>IF(AND(ISBLANK(B48),ISBLANK(C48)), "", CLEAN(TRIM(B48 &amp; " " &amp; C48)))</f>
        <v/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9" t="n"/>
      <c r="O48" s="9" t="n"/>
      <c r="P48" s="9" t="n"/>
      <c r="Q48" s="9" t="n"/>
      <c r="R48" s="4" t="n"/>
    </row>
    <row r="49" ht="20" customHeight="1">
      <c r="A49" s="9" t="n"/>
      <c r="B49" s="4" t="n"/>
      <c r="C49" s="4" t="n"/>
      <c r="D49" s="10">
        <f>IF(AND(ISBLANK(B49),ISBLANK(C49)), "", CLEAN(TRIM(B49 &amp; " " &amp; C49)))</f>
        <v/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9" t="n"/>
      <c r="O49" s="9" t="n"/>
      <c r="P49" s="9" t="n"/>
      <c r="Q49" s="9" t="n"/>
      <c r="R49" s="4" t="n"/>
    </row>
    <row r="50" ht="20" customHeight="1">
      <c r="A50" s="9" t="n"/>
      <c r="B50" s="4" t="n"/>
      <c r="C50" s="4" t="n"/>
      <c r="D50" s="10">
        <f>IF(AND(ISBLANK(B50),ISBLANK(C50)), "", CLEAN(TRIM(B50 &amp; " " &amp; C50)))</f>
        <v/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9" t="n"/>
      <c r="O50" s="9" t="n"/>
      <c r="P50" s="9" t="n"/>
      <c r="Q50" s="9" t="n"/>
      <c r="R50" s="4" t="n"/>
    </row>
  </sheetData>
  <dataValidations count="3">
    <dataValidation sqref="O5:O50" showDropDown="0" showInputMessage="0" showErrorMessage="0" allowBlank="1" errorTitle="Invalid Entry" error="Your entry is not in the list of allowed relationship stages" promptTitle="Stage" prompt="Select relationship stage from the dropdown" type="list">
      <formula1>'4. Dropdown Reference'!$A$5:$A$11</formula1>
    </dataValidation>
    <dataValidation sqref="P5:P50" showDropDown="0" showInputMessage="0" showErrorMessage="0" allowBlank="1" errorTitle="Invalid Entry" error="Your entry is not in the list of allowed industries" promptTitle="Industry" prompt="Select industry group from the dropdown" type="list">
      <formula1>'4. Dropdown Reference'!$B$5:$B$13</formula1>
    </dataValidation>
    <dataValidation sqref="Q5:Q50" showDropDown="0" showInputMessage="0" showErrorMessage="0" allowBlank="1" errorTitle="Invalid Entry" error="Your entry is not in the list of allowed extraction statuses" promptTitle="Extraction Status" prompt="Select status from the dropdown" type="list">
      <formula1>'4. Dropdown Reference'!$C$5:$C$7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3" customWidth="1" min="3" max="3"/>
    <col width="29" customWidth="1" min="4" max="4"/>
    <col width="43" customWidth="1" min="5" max="5"/>
  </cols>
  <sheetData>
    <row r="1">
      <c r="A1" s="7" t="inlineStr">
        <is>
          <t>CRM &amp; Contact Exporter Field Mapping Schema</t>
        </is>
      </c>
    </row>
    <row r="2">
      <c r="A2" s="2" t="inlineStr">
        <is>
          <t>Reference instructions to map CardScan template columns into native CRM input structures.</t>
        </is>
      </c>
    </row>
    <row r="3"/>
    <row r="4" ht="25" customHeight="1">
      <c r="A4" s="8" t="inlineStr">
        <is>
          <t>CardScan Export Column</t>
        </is>
      </c>
      <c r="B4" s="8" t="inlineStr">
        <is>
          <t>Salesforce Target Field</t>
        </is>
      </c>
      <c r="C4" s="8" t="inlineStr">
        <is>
          <t>HubSpot Target Field</t>
        </is>
      </c>
      <c r="D4" s="8" t="inlineStr">
        <is>
          <t>Google Contacts CSV Header</t>
        </is>
      </c>
      <c r="E4" s="8" t="inlineStr">
        <is>
          <t>Notes / Best Practices</t>
        </is>
      </c>
    </row>
    <row r="5" ht="20" customHeight="1">
      <c r="A5" s="4" t="inlineStr">
        <is>
          <t>Card ID</t>
        </is>
      </c>
      <c r="B5" s="4" t="inlineStr">
        <is>
          <t>External ID / Card_ID__c</t>
        </is>
      </c>
      <c r="C5" s="4" t="inlineStr">
        <is>
          <t>N/A</t>
        </is>
      </c>
      <c r="D5" s="4" t="inlineStr">
        <is>
          <t>Notes (Prefixed)</t>
        </is>
      </c>
      <c r="E5" s="4" t="inlineStr">
        <is>
          <t>Unique identifier generated by CardScan.</t>
        </is>
      </c>
    </row>
    <row r="6" ht="20" customHeight="1">
      <c r="A6" s="4" t="inlineStr">
        <is>
          <t>First Name</t>
        </is>
      </c>
      <c r="B6" s="4" t="inlineStr">
        <is>
          <t>FirstName</t>
        </is>
      </c>
      <c r="C6" s="4" t="inlineStr">
        <is>
          <t>firstname</t>
        </is>
      </c>
      <c r="D6" s="4" t="inlineStr">
        <is>
          <t>Given Name</t>
        </is>
      </c>
      <c r="E6" s="4" t="inlineStr">
        <is>
          <t>Split name field recommended for cleaner email sequences.</t>
        </is>
      </c>
    </row>
    <row r="7" ht="20" customHeight="1">
      <c r="A7" s="4" t="inlineStr">
        <is>
          <t>Last Name</t>
        </is>
      </c>
      <c r="B7" s="4" t="inlineStr">
        <is>
          <t>LastName</t>
        </is>
      </c>
      <c r="C7" s="4" t="inlineStr">
        <is>
          <t>lastname</t>
        </is>
      </c>
      <c r="D7" s="4" t="inlineStr">
        <is>
          <t>Family Name</t>
        </is>
      </c>
      <c r="E7" s="4" t="inlineStr">
        <is>
          <t>Required field for Salesforce Lead creation.</t>
        </is>
      </c>
    </row>
    <row r="8" ht="20" customHeight="1">
      <c r="A8" s="4" t="inlineStr">
        <is>
          <t>Full Name</t>
        </is>
      </c>
      <c r="B8" s="4" t="inlineStr">
        <is>
          <t>Name (calculated)</t>
        </is>
      </c>
      <c r="C8" s="4" t="inlineStr">
        <is>
          <t>N/A</t>
        </is>
      </c>
      <c r="D8" s="4" t="inlineStr">
        <is>
          <t>Name</t>
        </is>
      </c>
      <c r="E8" s="4" t="inlineStr">
        <is>
          <t>Formula-generated field. Avoid manual overriding.</t>
        </is>
      </c>
    </row>
    <row r="9" ht="20" customHeight="1">
      <c r="A9" s="4" t="inlineStr">
        <is>
          <t>Job Title</t>
        </is>
      </c>
      <c r="B9" s="4" t="inlineStr">
        <is>
          <t>Title</t>
        </is>
      </c>
      <c r="C9" s="4" t="inlineStr">
        <is>
          <t>jobtitle</t>
        </is>
      </c>
      <c r="D9" s="4" t="inlineStr">
        <is>
          <t>Job Title</t>
        </is>
      </c>
      <c r="E9" s="4" t="inlineStr">
        <is>
          <t>Extracted job position.</t>
        </is>
      </c>
    </row>
    <row r="10" ht="20" customHeight="1">
      <c r="A10" s="4" t="inlineStr">
        <is>
          <t>Company</t>
        </is>
      </c>
      <c r="B10" s="4" t="inlineStr">
        <is>
          <t>Company</t>
        </is>
      </c>
      <c r="C10" s="4" t="inlineStr">
        <is>
          <t>company</t>
        </is>
      </c>
      <c r="D10" s="4" t="inlineStr">
        <is>
          <t>Organization 1 - Name</t>
        </is>
      </c>
      <c r="E10" s="4" t="inlineStr">
        <is>
          <t>Required field for most CRM leads.</t>
        </is>
      </c>
    </row>
    <row r="11" ht="20" customHeight="1">
      <c r="A11" s="4" t="inlineStr">
        <is>
          <t>Email Address</t>
        </is>
      </c>
      <c r="B11" s="4" t="inlineStr">
        <is>
          <t>Email</t>
        </is>
      </c>
      <c r="C11" s="4" t="inlineStr">
        <is>
          <t>email</t>
        </is>
      </c>
      <c r="D11" s="4" t="inlineStr">
        <is>
          <t>E-mail 1 - Value</t>
        </is>
      </c>
      <c r="E11" s="4" t="inlineStr">
        <is>
          <t>Primary communication link.</t>
        </is>
      </c>
    </row>
    <row r="12" ht="20" customHeight="1">
      <c r="A12" s="4" t="inlineStr">
        <is>
          <t>Mobile Phone</t>
        </is>
      </c>
      <c r="B12" s="4" t="inlineStr">
        <is>
          <t>MobilePhone</t>
        </is>
      </c>
      <c r="C12" s="4" t="inlineStr">
        <is>
          <t>mobilephone</t>
        </is>
      </c>
      <c r="D12" s="4" t="inlineStr">
        <is>
          <t>Phone 1 - Value</t>
        </is>
      </c>
      <c r="E12" s="4" t="inlineStr">
        <is>
          <t>Prefer format with country codes (e.g. +1-...).</t>
        </is>
      </c>
    </row>
    <row r="13" ht="20" customHeight="1">
      <c r="A13" s="4" t="inlineStr">
        <is>
          <t>Work Phone</t>
        </is>
      </c>
      <c r="B13" s="4" t="inlineStr">
        <is>
          <t>Phone</t>
        </is>
      </c>
      <c r="C13" s="4" t="inlineStr">
        <is>
          <t>phone</t>
        </is>
      </c>
      <c r="D13" s="4" t="inlineStr">
        <is>
          <t>Phone 2 - Value</t>
        </is>
      </c>
      <c r="E13" s="4" t="inlineStr">
        <is>
          <t>Office landline or direct extension.</t>
        </is>
      </c>
    </row>
    <row r="14" ht="20" customHeight="1">
      <c r="A14" s="4" t="inlineStr">
        <is>
          <t>Website</t>
        </is>
      </c>
      <c r="B14" s="4" t="inlineStr">
        <is>
          <t>Website</t>
        </is>
      </c>
      <c r="C14" s="4" t="inlineStr">
        <is>
          <t>website</t>
        </is>
      </c>
      <c r="D14" s="4" t="inlineStr">
        <is>
          <t>Website 1 - Value</t>
        </is>
      </c>
      <c r="E14" s="4" t="inlineStr">
        <is>
          <t>Validate URL scheme before import.</t>
        </is>
      </c>
    </row>
    <row r="15" ht="20" customHeight="1">
      <c r="A15" s="4" t="inlineStr">
        <is>
          <t>City</t>
        </is>
      </c>
      <c r="B15" s="4" t="inlineStr">
        <is>
          <t>City</t>
        </is>
      </c>
      <c r="C15" s="4" t="inlineStr">
        <is>
          <t>city</t>
        </is>
      </c>
      <c r="D15" s="4" t="inlineStr">
        <is>
          <t>Address 1 - City</t>
        </is>
      </c>
      <c r="E15" s="4" t="inlineStr">
        <is>
          <t>Location field for regional filtering.</t>
        </is>
      </c>
    </row>
    <row r="16" ht="20" customHeight="1">
      <c r="A16" s="4" t="inlineStr">
        <is>
          <t>State/Province</t>
        </is>
      </c>
      <c r="B16" s="4" t="inlineStr">
        <is>
          <t>State</t>
        </is>
      </c>
      <c r="C16" s="4" t="inlineStr">
        <is>
          <t>state</t>
        </is>
      </c>
      <c r="D16" s="4" t="inlineStr">
        <is>
          <t>Address 1 - Region</t>
        </is>
      </c>
      <c r="E16" s="4" t="inlineStr">
        <is>
          <t>ISO State code (e.g., CA) or full name.</t>
        </is>
      </c>
    </row>
    <row r="17" ht="20" customHeight="1">
      <c r="A17" s="4" t="inlineStr">
        <is>
          <t>Country</t>
        </is>
      </c>
      <c r="B17" s="4" t="inlineStr">
        <is>
          <t>Country</t>
        </is>
      </c>
      <c r="C17" s="4" t="inlineStr">
        <is>
          <t>country</t>
        </is>
      </c>
      <c r="D17" s="4" t="inlineStr">
        <is>
          <t>Address 1 - Country</t>
        </is>
      </c>
      <c r="E17" s="4" t="inlineStr">
        <is>
          <t>ISO 2 or 3 letter codes recommended.</t>
        </is>
      </c>
    </row>
    <row r="18" ht="20" customHeight="1">
      <c r="A18" s="4" t="inlineStr">
        <is>
          <t>Scan Date</t>
        </is>
      </c>
      <c r="B18" s="4" t="inlineStr">
        <is>
          <t>Scan_Date__c</t>
        </is>
      </c>
      <c r="C18" s="4" t="inlineStr">
        <is>
          <t>hs_createdate</t>
        </is>
      </c>
      <c r="D18" s="4" t="inlineStr">
        <is>
          <t>N/A</t>
        </is>
      </c>
      <c r="E18" s="4" t="inlineStr">
        <is>
          <t>Tracks when the physical card was processed.</t>
        </is>
      </c>
    </row>
    <row r="19" ht="20" customHeight="1">
      <c r="A19" s="4" t="inlineStr">
        <is>
          <t>Relationship Stage</t>
        </is>
      </c>
      <c r="B19" s="4" t="inlineStr">
        <is>
          <t>Status / Stage</t>
        </is>
      </c>
      <c r="C19" s="4" t="inlineStr">
        <is>
          <t>lifecyclestage</t>
        </is>
      </c>
      <c r="D19" s="4" t="inlineStr">
        <is>
          <t>N/A</t>
        </is>
      </c>
      <c r="E19" s="4" t="inlineStr">
        <is>
          <t>Mapped using custom dropdown selection values.</t>
        </is>
      </c>
    </row>
    <row r="20" ht="20" customHeight="1">
      <c r="A20" s="4" t="inlineStr">
        <is>
          <t>Industry Group</t>
        </is>
      </c>
      <c r="B20" s="4" t="inlineStr">
        <is>
          <t>Industry</t>
        </is>
      </c>
      <c r="C20" s="4" t="inlineStr">
        <is>
          <t>industry</t>
        </is>
      </c>
      <c r="D20" s="4" t="inlineStr">
        <is>
          <t>N/A</t>
        </is>
      </c>
      <c r="E20" s="4" t="inlineStr">
        <is>
          <t>Standard CRM category drop-down list values.</t>
        </is>
      </c>
    </row>
    <row r="21" ht="20" customHeight="1">
      <c r="A21" s="4" t="inlineStr">
        <is>
          <t>Extraction Status</t>
        </is>
      </c>
      <c r="B21" s="4" t="inlineStr">
        <is>
          <t>N/A</t>
        </is>
      </c>
      <c r="C21" s="4" t="inlineStr">
        <is>
          <t>N/A</t>
        </is>
      </c>
      <c r="D21" s="4" t="inlineStr">
        <is>
          <t>N/A</t>
        </is>
      </c>
      <c r="E21" s="4" t="inlineStr">
        <is>
          <t>Internal system quality control flag.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7" customWidth="1" min="3" max="3"/>
  </cols>
  <sheetData>
    <row r="1">
      <c r="A1" s="7" t="inlineStr">
        <is>
          <t>Contact Database KPI Dashboard</t>
        </is>
      </c>
    </row>
    <row r="2">
      <c r="A2" s="2" t="inlineStr">
        <is>
          <t>Real-time summary of contact imports, quality, and categorization stages.</t>
        </is>
      </c>
    </row>
    <row r="3"/>
    <row r="4">
      <c r="A4" s="8" t="inlineStr">
        <is>
          <t>Key Performance Metric</t>
        </is>
      </c>
      <c r="B4" s="8" t="inlineStr">
        <is>
          <t>Value</t>
        </is>
      </c>
      <c r="C4" s="8" t="inlineStr">
        <is>
          <t>Goal / Status</t>
        </is>
      </c>
    </row>
    <row r="5">
      <c r="A5" s="4" t="inlineStr">
        <is>
          <t>Total Scanned Cards</t>
        </is>
      </c>
      <c r="B5" s="11">
        <f>COUNTA('2. Contact Database'!$A$5:$A$50) - COUNTBLANK('2. Contact Database'!$A$5:$A$50)</f>
        <v/>
      </c>
      <c r="C5" s="4" t="inlineStr">
        <is>
          <t>Active Database Size</t>
        </is>
      </c>
    </row>
    <row r="6">
      <c r="A6" s="4" t="inlineStr">
        <is>
          <t>Structured Leads Count</t>
        </is>
      </c>
      <c r="B6" s="11">
        <f>COUNTIF('2. Contact Database'!$O$5:$O$50, "Lead")</f>
        <v/>
      </c>
      <c r="C6" s="4" t="inlineStr">
        <is>
          <t>Sales Target Pipeline</t>
        </is>
      </c>
    </row>
    <row r="7">
      <c r="A7" s="4" t="inlineStr">
        <is>
          <t>Pending Review Flags</t>
        </is>
      </c>
      <c r="B7" s="11">
        <f>COUNTIF('2. Contact Database'!$Q$5:$Q$50, "Needs Review")</f>
        <v/>
      </c>
      <c r="C7" s="4" t="inlineStr">
        <is>
          <t>Data Quality Warning</t>
        </is>
      </c>
    </row>
    <row r="8">
      <c r="A8" s="4" t="inlineStr">
        <is>
          <t>Missing Email Count</t>
        </is>
      </c>
      <c r="B8" s="11">
        <f>COUNTBLANK('2. Contact Database'!$G$5:$G$8) + COUNTIF('2. Contact Database'!$G$9:$G$50, "")</f>
        <v/>
      </c>
      <c r="C8" s="4" t="inlineStr">
        <is>
          <t>Action Needed</t>
        </is>
      </c>
    </row>
    <row r="9"/>
    <row r="10"/>
    <row r="11">
      <c r="A11" s="5" t="inlineStr">
        <is>
          <t>Relationship Stage Distribution</t>
        </is>
      </c>
    </row>
    <row r="12">
      <c r="A12" s="12" t="inlineStr">
        <is>
          <t>Stage</t>
        </is>
      </c>
      <c r="B12" s="3" t="inlineStr">
        <is>
          <t>Count</t>
        </is>
      </c>
      <c r="C12" s="3" t="inlineStr">
        <is>
          <t>Percentage</t>
        </is>
      </c>
    </row>
    <row r="13">
      <c r="A13" s="13" t="inlineStr">
        <is>
          <t>Lead</t>
        </is>
      </c>
      <c r="B13" s="14">
        <f>COUNTIF('2. Contact Database'!$O$5:$O$50, "Lead")</f>
        <v/>
      </c>
      <c r="C13" s="15">
        <f>IF($B$5&gt;0, B13/$B$5, 0)</f>
        <v/>
      </c>
    </row>
    <row r="14">
      <c r="A14" s="13" t="inlineStr">
        <is>
          <t>Opportunity</t>
        </is>
      </c>
      <c r="B14" s="14">
        <f>COUNTIF('2. Contact Database'!$O$5:$O$50, "Opportunity")</f>
        <v/>
      </c>
      <c r="C14" s="15">
        <f>IF($B$5&gt;0, B14/$B$5, 0)</f>
        <v/>
      </c>
    </row>
    <row r="15">
      <c r="A15" s="13" t="inlineStr">
        <is>
          <t>Client</t>
        </is>
      </c>
      <c r="B15" s="14">
        <f>COUNTIF('2. Contact Database'!$O$5:$O$50, "Client")</f>
        <v/>
      </c>
      <c r="C15" s="15">
        <f>IF($B$5&gt;0, B15/$B$5, 0)</f>
        <v/>
      </c>
    </row>
    <row r="16">
      <c r="A16" s="13" t="inlineStr">
        <is>
          <t>Supplier/Vendor</t>
        </is>
      </c>
      <c r="B16" s="14">
        <f>COUNTIF('2. Contact Database'!$O$5:$O$50, "Supplier/Vendor")</f>
        <v/>
      </c>
      <c r="C16" s="15">
        <f>IF($B$5&gt;0, B16/$B$5, 0)</f>
        <v/>
      </c>
    </row>
    <row r="17">
      <c r="A17" s="13" t="inlineStr">
        <is>
          <t>Partner</t>
        </is>
      </c>
      <c r="B17" s="14">
        <f>COUNTIF('2. Contact Database'!$O$5:$O$50, "Partner")</f>
        <v/>
      </c>
      <c r="C17" s="15">
        <f>IF($B$5&gt;0, B17/$B$5, 0)</f>
        <v/>
      </c>
    </row>
    <row r="18">
      <c r="A18" s="13" t="inlineStr">
        <is>
          <t>Inbound Call</t>
        </is>
      </c>
      <c r="B18" s="14">
        <f>COUNTIF('2. Contact Database'!$O$5:$O$50, "Inbound Call")</f>
        <v/>
      </c>
      <c r="C18" s="15">
        <f>IF($B$5&gt;0, B18/$B$5, 0)</f>
        <v/>
      </c>
    </row>
    <row r="19">
      <c r="A19" s="13" t="inlineStr">
        <is>
          <t>Junk/Unqualified</t>
        </is>
      </c>
      <c r="B19" s="14">
        <f>COUNTIF('2. Contact Database'!$O$5:$O$50, "Junk/Unqualified")</f>
        <v/>
      </c>
      <c r="C19" s="15">
        <f>IF($B$5&gt;0, B19/$B$5, 0)</f>
        <v/>
      </c>
    </row>
    <row r="20">
      <c r="A20" s="16" t="inlineStr">
        <is>
          <t>Total</t>
        </is>
      </c>
      <c r="B20" s="17">
        <f>SUM(B13:B19)</f>
        <v/>
      </c>
      <c r="C20" s="18">
        <f>SUM(C13:C19)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2026-07-13T15:00:49Z</dcterms:created>
  <dcterms:modified xmlns:dcterms="http://purl.org/dc/terms/" xmlns:xsi="http://www.w3.org/2001/XMLSchema-instance" xsi:type="dcterms:W3CDTF">2026-07-13T15:00:49Z</dcterms:modified>
</cp:coreProperties>
</file>